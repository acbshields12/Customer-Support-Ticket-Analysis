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Customer Support Ticket Analysis\"/>
    </mc:Choice>
  </mc:AlternateContent>
  <xr:revisionPtr revIDLastSave="0" documentId="13_ncr:1_{EBB2A05C-90C9-43A4-ABA4-91D7375F9ED7}" xr6:coauthVersionLast="47" xr6:coauthVersionMax="47" xr10:uidLastSave="{00000000-0000-0000-0000-000000000000}"/>
  <bookViews>
    <workbookView xWindow="-120" yWindow="-120" windowWidth="20730" windowHeight="11040" firstSheet="4" activeTab="6" xr2:uid="{C5DC85B3-8621-4B79-918E-95722BFB6C7C}"/>
  </bookViews>
  <sheets>
    <sheet name="tickets" sheetId="1" r:id="rId1"/>
    <sheet name="most_common_issue" sheetId="4" r:id="rId2"/>
    <sheet name="ticket_priority_breakdown" sheetId="6" r:id="rId3"/>
    <sheet name="high_priority_open_ticket" sheetId="9" r:id="rId4"/>
    <sheet name="tickets with tables" sheetId="8" r:id="rId5"/>
    <sheet name="total_tickets_by_status" sheetId="3" r:id="rId6"/>
    <sheet name="Dashboard" sheetId="10" r:id="rId7"/>
  </sheets>
  <definedNames>
    <definedName name="ExternalData_1" localSheetId="5" hidden="1">total_tickets_by_status!$A$1:$B$3</definedName>
    <definedName name="ExternalData_2" localSheetId="1" hidden="1">most_common_issue!$A$1:$B$5</definedName>
    <definedName name="ExternalData_2" localSheetId="2" hidden="1">ticket_priority_breakdown!$A$1:$B$4</definedName>
    <definedName name="ExternalData_2" localSheetId="4" hidden="1">'tickets with tables'!$A$1:$B$5</definedName>
    <definedName name="ExternalData_3" localSheetId="3" hidden="1">high_priority_open_ticket!$A$1:$F$3</definedName>
  </definedNames>
  <calcPr calcId="191029"/>
  <pivotCaches>
    <pivotCache cacheId="0" r:id="rId8"/>
    <pivotCache cacheId="1" r:id="rId9"/>
    <pivotCache cacheId="2" r:id="rId10"/>
    <pivotCache cacheId="1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647B6-A50C-4AAD-8CDD-CCA7F4FC6E8F}" keepAlive="1" name="Query - daily_ticket_volume" description="Connection to the 'daily_ticket_volume' query in the workbook." type="5" refreshedVersion="7" background="1" saveData="1">
    <dbPr connection="Provider=Microsoft.Mashup.OleDb.1;Data Source=$Workbook$;Location=daily_ticket_volume;Extended Properties=&quot;&quot;" command="SELECT * FROM [daily_ticket_volume]"/>
  </connection>
  <connection id="2" xr16:uid="{440D43AB-B920-47A6-AA45-2022F243C3B3}" keepAlive="1" name="Query - high_priority_open_ticket" description="Connection to the 'high_priority_open_ticket' query in the workbook." type="5" refreshedVersion="7" background="1" saveData="1">
    <dbPr connection="Provider=Microsoft.Mashup.OleDb.1;Data Source=$Workbook$;Location=high_priority_open_ticket;Extended Properties=&quot;&quot;" command="SELECT * FROM [high_priority_open_ticket]"/>
  </connection>
  <connection id="3" xr16:uid="{B233F68D-26DC-456A-A633-0AAC04109C1A}" keepAlive="1" name="Query - most_common_issue" description="Connection to the 'most_common_issue' query in the workbook." type="5" refreshedVersion="7" background="1" saveData="1">
    <dbPr connection="Provider=Microsoft.Mashup.OleDb.1;Data Source=$Workbook$;Location=most_common_issue;Extended Properties=&quot;&quot;" command="SELECT * FROM [most_common_issue]"/>
  </connection>
  <connection id="4" xr16:uid="{F4F923D4-0B06-4FC4-927B-C6C693DEE52F}" keepAlive="1" name="Query - ticket_priority_breakdown" description="Connection to the 'ticket_priority_breakdown' query in the workbook." type="5" refreshedVersion="7" background="1" saveData="1">
    <dbPr connection="Provider=Microsoft.Mashup.OleDb.1;Data Source=$Workbook$;Location=ticket_priority_breakdown;Extended Properties=&quot;&quot;" command="SELECT * FROM [ticket_priority_breakdown]"/>
  </connection>
  <connection id="5" xr16:uid="{67616182-DE5A-4278-B08A-23E87E7A8AB4}" keepAlive="1" name="Query - total_tickets_by_status" description="Connection to the 'total_tickets_by_status' query in the workbook." type="5" refreshedVersion="7" background="1" saveData="1">
    <dbPr connection="Provider=Microsoft.Mashup.OleDb.1;Data Source=$Workbook$;Location=total_tickets_by_status;Extended Properties=&quot;&quot;" command="SELECT * FROM [total_tickets_by_status]"/>
  </connection>
</connections>
</file>

<file path=xl/sharedStrings.xml><?xml version="1.0" encoding="utf-8"?>
<sst xmlns="http://schemas.openxmlformats.org/spreadsheetml/2006/main" count="86" uniqueCount="37">
  <si>
    <t>Customer_name</t>
  </si>
  <si>
    <t>issue_type</t>
  </si>
  <si>
    <t>priority</t>
  </si>
  <si>
    <t>status</t>
  </si>
  <si>
    <t>created_date</t>
  </si>
  <si>
    <t>John Lee</t>
  </si>
  <si>
    <t>Maria Cruz</t>
  </si>
  <si>
    <t>Alex Kim</t>
  </si>
  <si>
    <t>Sara Lim</t>
  </si>
  <si>
    <t>David Park</t>
  </si>
  <si>
    <t>Login Issue</t>
  </si>
  <si>
    <t>Payment Error</t>
  </si>
  <si>
    <t>Account Locked</t>
  </si>
  <si>
    <t>Bug Report</t>
  </si>
  <si>
    <t>High</t>
  </si>
  <si>
    <t>Medium</t>
  </si>
  <si>
    <t>Low</t>
  </si>
  <si>
    <t>Open</t>
  </si>
  <si>
    <t>Closed</t>
  </si>
  <si>
    <t>ticket_id</t>
  </si>
  <si>
    <t>T001</t>
  </si>
  <si>
    <t>T002</t>
  </si>
  <si>
    <t>T003</t>
  </si>
  <si>
    <t>T004</t>
  </si>
  <si>
    <t>T005</t>
  </si>
  <si>
    <t>Total</t>
  </si>
  <si>
    <t>count_issue</t>
  </si>
  <si>
    <t>total</t>
  </si>
  <si>
    <t>tickets_per_day</t>
  </si>
  <si>
    <t>customer_name</t>
  </si>
  <si>
    <t>Grand Total</t>
  </si>
  <si>
    <t>Row Labels</t>
  </si>
  <si>
    <t>Sum of count_issue</t>
  </si>
  <si>
    <t>Sum of total</t>
  </si>
  <si>
    <t>Sum of tickets_per_day</t>
  </si>
  <si>
    <t>Sum of Total</t>
  </si>
  <si>
    <t>CUSTOMER SUPPORT TICKET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</si>
</sst>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justify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Common Issues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4"/>
                <c:pt idx="0">
                  <c:v>Account Locked</c:v>
                </c:pt>
                <c:pt idx="1">
                  <c:v>Bug Report</c:v>
                </c:pt>
                <c:pt idx="2">
                  <c:v>Login Issue</c:v>
                </c:pt>
                <c:pt idx="3">
                  <c:v>Payment Error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9-4B70-9CB4-55FE1FE3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0430111"/>
        <c:axId val="2110435935"/>
      </c:barChart>
      <c:catAx>
        <c:axId val="2110430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5935"/>
        <c:crosses val="autoZero"/>
        <c:auto val="1"/>
        <c:lblAlgn val="ctr"/>
        <c:lblOffset val="100"/>
        <c:noMultiLvlLbl val="0"/>
      </c:catAx>
      <c:valAx>
        <c:axId val="2110435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3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Priority Breakdown</a:t>
            </a:r>
          </a:p>
        </c:rich>
      </c:tx>
      <c:layout>
        <c:manualLayout>
          <c:xMode val="edge"/>
          <c:yMode val="edge"/>
          <c:x val="0.19333324054951417"/>
          <c:y val="6.077874562479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Dashboard!$A$10:$A$13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D-4499-8F64-EA6BCEFD9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544079"/>
        <c:axId val="454539919"/>
      </c:barChart>
      <c:catAx>
        <c:axId val="45454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39919"/>
        <c:crosses val="autoZero"/>
        <c:auto val="1"/>
        <c:lblAlgn val="ctr"/>
        <c:lblOffset val="100"/>
        <c:noMultiLvlLbl val="0"/>
      </c:catAx>
      <c:valAx>
        <c:axId val="45453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Ticket</a:t>
            </a:r>
            <a:r>
              <a:rPr lang="en-US" baseline="0"/>
              <a:t>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CF-409D-BD0C-F02F3B3527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F-409D-BD0C-F02F3B3527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F-409D-BD0C-F02F3B3527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CF-409D-BD0C-F02F3B3527DB}"/>
              </c:ext>
            </c:extLst>
          </c:dPt>
          <c:cat>
            <c:strRef>
              <c:f>Dashboard!$A$17:$A$21</c:f>
              <c:strCache>
                <c:ptCount val="4"/>
                <c:pt idx="0">
                  <c:v>3/1/2026</c:v>
                </c:pt>
                <c:pt idx="1">
                  <c:v>3/2/2026</c:v>
                </c:pt>
                <c:pt idx="2">
                  <c:v>3/3/2026</c:v>
                </c:pt>
                <c:pt idx="3">
                  <c:v>3/4/2026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0-4D76-BEE4-62EAD284E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Tickets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715607641042673E-2"/>
          <c:y val="0.21282869514693636"/>
          <c:w val="0.6661694076273269"/>
          <c:h val="0.71049350807309875"/>
        </c:manualLayout>
      </c:layout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Dashboard!$A$25:$A$27</c:f>
              <c:strCache>
                <c:ptCount val="2"/>
                <c:pt idx="0">
                  <c:v>Closed</c:v>
                </c:pt>
                <c:pt idx="1">
                  <c:v>Open</c:v>
                </c:pt>
              </c:strCache>
            </c:strRef>
          </c:cat>
          <c:val>
            <c:numRef>
              <c:f>Dashboard!$B$25:$B$27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F-4949-AEB2-401AEC4B1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171452</xdr:rowOff>
    </xdr:from>
    <xdr:to>
      <xdr:col>8</xdr:col>
      <xdr:colOff>964406</xdr:colOff>
      <xdr:row>12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5A944-C939-41C5-B923-20234B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119062</xdr:colOff>
      <xdr:row>13</xdr:row>
      <xdr:rowOff>97631</xdr:rowOff>
    </xdr:from>
    <xdr:to>
      <xdr:col>13</xdr:col>
      <xdr:colOff>607217</xdr:colOff>
      <xdr:row>25</xdr:row>
      <xdr:rowOff>35718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C9219-23D7-407E-8BE8-C1601742D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1226343</xdr:colOff>
      <xdr:row>2</xdr:row>
      <xdr:rowOff>159545</xdr:rowOff>
    </xdr:from>
    <xdr:to>
      <xdr:col>14</xdr:col>
      <xdr:colOff>83343</xdr:colOff>
      <xdr:row>12</xdr:row>
      <xdr:rowOff>111920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7998C-05A2-42FA-9FD2-054F2E52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76202</xdr:colOff>
      <xdr:row>13</xdr:row>
      <xdr:rowOff>123825</xdr:rowOff>
    </xdr:from>
    <xdr:to>
      <xdr:col>8</xdr:col>
      <xdr:colOff>1381125</xdr:colOff>
      <xdr:row>25</xdr:row>
      <xdr:rowOff>35718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89B89-D9C0-4050-BD83-C6E6C1AE6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2038310186" createdVersion="7" refreshedVersion="7" minRefreshableVersion="3" recordCount="4" xr:uid="{B2881C41-E435-4805-93B3-9809C6AB70B7}">
  <cacheSource type="worksheet">
    <worksheetSource name="most_common_issue"/>
  </cacheSource>
  <cacheFields count="2">
    <cacheField name="issue_type" numFmtId="0">
      <sharedItems count="4">
        <s v="Login Issue"/>
        <s v="Payment Error"/>
        <s v="Account Locked"/>
        <s v="Bug Report"/>
      </sharedItems>
    </cacheField>
    <cacheField name="count_issue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4404976854" createdVersion="7" refreshedVersion="7" minRefreshableVersion="3" recordCount="3" xr:uid="{AF28C6E7-9DCA-4ACA-B595-DCFD922A3AD3}">
  <cacheSource type="worksheet">
    <worksheetSource name="ticket_priority_breakdown"/>
  </cacheSource>
  <cacheFields count="2">
    <cacheField name="priority" numFmtId="0">
      <sharedItems count="3">
        <s v="High"/>
        <s v="Medium"/>
        <s v="Low"/>
      </sharedItems>
    </cacheField>
    <cacheField name="total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098.786338310187" createdVersion="7" refreshedVersion="7" minRefreshableVersion="3" recordCount="4" xr:uid="{F9402987-A689-4A43-A474-41F743C4E12D}">
  <cacheSource type="worksheet">
    <worksheetSource name="daily_ticket_volume"/>
  </cacheSource>
  <cacheFields count="2">
    <cacheField name="created_date" numFmtId="14">
      <sharedItems containsSemiMixedTypes="0" containsNonDate="0" containsDate="1" containsString="0" minDate="2026-03-01T00:00:00" maxDate="2026-03-05T00:00:00" count="4">
        <d v="2026-03-01T00:00:00"/>
        <d v="2026-03-02T00:00:00"/>
        <d v="2026-03-03T00:00:00"/>
        <d v="2026-03-04T00:00:00"/>
      </sharedItems>
    </cacheField>
    <cacheField name="tickets_per_day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113.573714351849" createdVersion="7" refreshedVersion="7" minRefreshableVersion="3" recordCount="2" xr:uid="{94E7494A-9017-4E3D-8C69-4841D05CCE8E}">
  <cacheSource type="worksheet">
    <worksheetSource name="total_tickets_by_status"/>
  </cacheSource>
  <cacheFields count="2">
    <cacheField name="status" numFmtId="0">
      <sharedItems count="2">
        <s v="Open"/>
        <s v="Closed"/>
      </sharedItems>
    </cacheField>
    <cacheField name="Total" numFmtId="0">
      <sharedItems containsSemiMixedTypes="0" containsString="0" containsNumber="1" containsInteger="1" minValue="2" maxValue="3" count="2"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1"/>
  </r>
  <r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0"/>
  </r>
  <r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0"/>
  </r>
  <r>
    <x v="3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3C0CB-68F4-43DB-803A-D5E8395C6537}" name="PivotTable4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4:B27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F4D77-A0E6-4FCE-8BEF-2534B660E605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6:B21" firstHeaderRow="1" firstDataRow="1" firstDataCol="1"/>
  <pivotFields count="2">
    <pivotField axis="axisRow" numFmtId="14" showAll="0">
      <items count="5">
        <item x="0"/>
        <item x="1"/>
        <item x="2"/>
        <item x="3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ickets_per_day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24043-D0DC-430C-9148-E043CD3E25A9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9:B13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9405C-D5EB-43DC-956B-487BB5A2939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6" firstHeaderRow="1" firstDataRow="1" firstDataCol="1"/>
  <pivotFields count="2">
    <pivotField axis="axisRow" showAll="0">
      <items count="5">
        <item x="2"/>
        <item x="3"/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_iss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594E39B-20D7-43FD-A756-819494F2248F}" autoFormatId="16" applyNumberFormats="0" applyBorderFormats="0" applyFontFormats="0" applyPatternFormats="0" applyAlignmentFormats="0" applyWidthHeightFormats="0">
  <queryTableRefresh nextId="3">
    <queryTableFields count="2">
      <queryTableField id="1" name="issue_type" tableColumnId="1"/>
      <queryTableField id="2" name="count_iss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FFF0C58-69C9-4A56-81A0-DBC1F25D4AF6}" autoFormatId="16" applyNumberFormats="0" applyBorderFormats="0" applyFontFormats="0" applyPatternFormats="0" applyAlignmentFormats="0" applyWidthHeightFormats="0">
  <queryTableRefresh nextId="3">
    <queryTableFields count="2">
      <queryTableField id="1" name="priority" tableColumnId="1"/>
      <queryTableField id="2" name="tota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7539185-4B11-4EE9-BE46-169999100245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customer_name" tableColumnId="2"/>
      <queryTableField id="3" name="issue_type" tableColumnId="3"/>
      <queryTableField id="4" name="priority" tableColumnId="4"/>
      <queryTableField id="5" name="status" tableColumnId="5"/>
      <queryTableField id="6" name="created_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E7657E5-8FCF-4A79-857E-9BABAD41643C}" autoFormatId="16" applyNumberFormats="0" applyBorderFormats="0" applyFontFormats="0" applyPatternFormats="0" applyAlignmentFormats="0" applyWidthHeightFormats="0">
  <queryTableRefresh nextId="3">
    <queryTableFields count="2">
      <queryTableField id="1" name="created_date" tableColumnId="1"/>
      <queryTableField id="2" name="tickets_per_da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5E23519-A7D4-471C-88B7-E38FB8C32F55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Tot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CBC37-27C0-4B07-B490-AB7D0B607BFB}" name="most_common_issue" displayName="most_common_issue" ref="A1:B5" tableType="queryTable" totalsRowShown="0">
  <autoFilter ref="A1:B5" xr:uid="{259CBC37-27C0-4B07-B490-AB7D0B607BFB}"/>
  <tableColumns count="2">
    <tableColumn id="1" xr3:uid="{35870D20-DCC8-44F7-AB59-7DD0FD7E4944}" uniqueName="1" name="issue_type" queryTableFieldId="1" dataDxfId="9"/>
    <tableColumn id="2" xr3:uid="{F3DFB711-7B61-4F17-B733-8C9CDCF6BA5D}" uniqueName="2" name="count_iss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F6DB55-ACC8-49A2-8CC7-C548672B8FDF}" name="ticket_priority_breakdown" displayName="ticket_priority_breakdown" ref="A1:B4" tableType="queryTable" totalsRowShown="0">
  <autoFilter ref="A1:B4" xr:uid="{B9F6DB55-ACC8-49A2-8CC7-C548672B8FDF}"/>
  <tableColumns count="2">
    <tableColumn id="1" xr3:uid="{C588F781-D0DC-4BC6-BC7E-A6DDE90B8FEB}" uniqueName="1" name="priority" queryTableFieldId="1" dataDxfId="8"/>
    <tableColumn id="2" xr3:uid="{87BFDFBA-C86E-4BFC-88B6-A9F872086DBD}" uniqueName="2" name="total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434082-CD50-47D5-856E-F68EDC356772}" name="high_priority_open_ticket" displayName="high_priority_open_ticket" ref="A1:F3" tableType="queryTable" totalsRowShown="0">
  <autoFilter ref="A1:F3" xr:uid="{19434082-CD50-47D5-856E-F68EDC356772}"/>
  <tableColumns count="6">
    <tableColumn id="1" xr3:uid="{AD2E60B3-264B-482B-AADC-6D69BF372F1A}" uniqueName="1" name="ticket_id" queryTableFieldId="1" dataDxfId="7"/>
    <tableColumn id="2" xr3:uid="{92A7E347-211C-4EA1-89A1-D29AC4A7B8F5}" uniqueName="2" name="customer_name" queryTableFieldId="2" dataDxfId="6"/>
    <tableColumn id="3" xr3:uid="{DFDC5B1B-1BAA-43E7-A2E2-D10E86B300EA}" uniqueName="3" name="issue_type" queryTableFieldId="3" dataDxfId="5"/>
    <tableColumn id="4" xr3:uid="{77FA3C6C-8C8D-49ED-ACFE-D5C307815D9C}" uniqueName="4" name="priority" queryTableFieldId="4" dataDxfId="4"/>
    <tableColumn id="5" xr3:uid="{EC945412-192F-495B-94F6-B83F8C188AA5}" uniqueName="5" name="status" queryTableFieldId="5" dataDxfId="3"/>
    <tableColumn id="6" xr3:uid="{F1B36FE5-2DB2-41BE-8D59-E1FE53EBDEC6}" uniqueName="6" name="created_date" queryTableFieldId="6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9C48BB-5E15-4A60-8414-97C7F135C955}" name="daily_ticket_volume" displayName="daily_ticket_volume" ref="A1:B5" tableType="queryTable" totalsRowShown="0">
  <autoFilter ref="A1:B5" xr:uid="{969C48BB-5E15-4A60-8414-97C7F135C955}"/>
  <tableColumns count="2">
    <tableColumn id="1" xr3:uid="{3CC0C1BF-9F61-44C8-B675-EC6B529A0BB4}" uniqueName="1" name="created_date" queryTableFieldId="1" dataDxfId="1"/>
    <tableColumn id="2" xr3:uid="{487B0084-817A-4AD5-A961-6B2D1681C45C}" uniqueName="2" name="tickets_per_da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B7563-0E26-475C-92C1-8C9CFE53216A}" name="total_tickets_by_status" displayName="total_tickets_by_status" ref="A1:B3" tableType="queryTable" totalsRowShown="0">
  <autoFilter ref="A1:B3" xr:uid="{AB3B7563-0E26-475C-92C1-8C9CFE53216A}"/>
  <tableColumns count="2">
    <tableColumn id="1" xr3:uid="{57423132-D6A4-4BDD-81CE-BF08807F0712}" uniqueName="1" name="status" queryTableFieldId="1" dataDxfId="0"/>
    <tableColumn id="2" xr3:uid="{9A2DF4DE-8671-4E30-87EA-800386CD885F}" uniqueName="2" name="Tot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457B-E881-4069-9A54-94A43DDB9D8D}">
  <dimension ref="A1:F6"/>
  <sheetViews>
    <sheetView workbookViewId="0">
      <selection activeCell="C23" sqref="C23"/>
    </sheetView>
  </sheetViews>
  <sheetFormatPr defaultRowHeight="15" x14ac:dyDescent="0.25"/>
  <cols>
    <col min="2" max="2" width="15.7109375" bestFit="1" customWidth="1"/>
    <col min="3" max="3" width="14.85546875" bestFit="1" customWidth="1"/>
    <col min="4" max="4" width="8.42578125" bestFit="1" customWidth="1"/>
    <col min="5" max="5" width="7" bestFit="1" customWidth="1"/>
    <col min="6" max="6" width="12.7109375" style="2" bestFit="1" customWidth="1"/>
  </cols>
  <sheetData>
    <row r="1" spans="1:6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</row>
    <row r="2" spans="1:6" x14ac:dyDescent="0.25">
      <c r="A2" t="s">
        <v>20</v>
      </c>
      <c r="B2" t="s">
        <v>5</v>
      </c>
      <c r="C2" t="s">
        <v>10</v>
      </c>
      <c r="D2" t="s">
        <v>14</v>
      </c>
      <c r="E2" t="s">
        <v>17</v>
      </c>
      <c r="F2" s="2">
        <v>46082</v>
      </c>
    </row>
    <row r="3" spans="1:6" x14ac:dyDescent="0.25">
      <c r="A3" t="s">
        <v>21</v>
      </c>
      <c r="B3" t="s">
        <v>6</v>
      </c>
      <c r="C3" t="s">
        <v>11</v>
      </c>
      <c r="D3" t="s">
        <v>15</v>
      </c>
      <c r="E3" t="s">
        <v>18</v>
      </c>
      <c r="F3" s="2">
        <v>46083</v>
      </c>
    </row>
    <row r="4" spans="1:6" x14ac:dyDescent="0.25">
      <c r="A4" t="s">
        <v>22</v>
      </c>
      <c r="B4" t="s">
        <v>7</v>
      </c>
      <c r="C4" t="s">
        <v>12</v>
      </c>
      <c r="D4" t="s">
        <v>14</v>
      </c>
      <c r="E4" t="s">
        <v>17</v>
      </c>
      <c r="F4" s="2">
        <v>46083</v>
      </c>
    </row>
    <row r="5" spans="1:6" x14ac:dyDescent="0.25">
      <c r="A5" t="s">
        <v>23</v>
      </c>
      <c r="B5" t="s">
        <v>8</v>
      </c>
      <c r="C5" t="s">
        <v>13</v>
      </c>
      <c r="D5" t="s">
        <v>16</v>
      </c>
      <c r="E5" t="s">
        <v>18</v>
      </c>
      <c r="F5" s="2">
        <v>46084</v>
      </c>
    </row>
    <row r="6" spans="1:6" x14ac:dyDescent="0.25">
      <c r="A6" t="s">
        <v>24</v>
      </c>
      <c r="B6" t="s">
        <v>9</v>
      </c>
      <c r="C6" t="s">
        <v>10</v>
      </c>
      <c r="D6" t="s">
        <v>15</v>
      </c>
      <c r="E6" t="s">
        <v>17</v>
      </c>
      <c r="F6" s="2">
        <v>46085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411D-14DA-41B6-8DCF-BC5EC6229DDD}">
  <dimension ref="A1:B5"/>
  <sheetViews>
    <sheetView workbookViewId="0"/>
  </sheetViews>
  <sheetFormatPr defaultRowHeight="15" x14ac:dyDescent="0.25"/>
  <cols>
    <col min="1" max="1" width="14.85546875" bestFit="1" customWidth="1"/>
    <col min="2" max="2" width="13.85546875" bestFit="1" customWidth="1"/>
  </cols>
  <sheetData>
    <row r="1" spans="1:2" x14ac:dyDescent="0.25">
      <c r="A1" t="s">
        <v>1</v>
      </c>
      <c r="B1" t="s">
        <v>26</v>
      </c>
    </row>
    <row r="2" spans="1:2" x14ac:dyDescent="0.25">
      <c r="A2" s="3" t="s">
        <v>10</v>
      </c>
      <c r="B2">
        <v>2</v>
      </c>
    </row>
    <row r="3" spans="1:2" x14ac:dyDescent="0.25">
      <c r="A3" s="3" t="s">
        <v>11</v>
      </c>
      <c r="B3">
        <v>1</v>
      </c>
    </row>
    <row r="4" spans="1:2" x14ac:dyDescent="0.25">
      <c r="A4" s="3" t="s">
        <v>12</v>
      </c>
      <c r="B4">
        <v>1</v>
      </c>
    </row>
    <row r="5" spans="1:2" x14ac:dyDescent="0.25">
      <c r="A5" s="3" t="s">
        <v>13</v>
      </c>
      <c r="B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A450-C425-4B1C-92BD-6F63DC7D223F}">
  <dimension ref="A1:B4"/>
  <sheetViews>
    <sheetView workbookViewId="0">
      <selection sqref="A1:B4"/>
    </sheetView>
  </sheetViews>
  <sheetFormatPr defaultRowHeight="15" x14ac:dyDescent="0.25"/>
  <cols>
    <col min="1" max="1" width="9.85546875" bestFit="1" customWidth="1"/>
    <col min="2" max="2" width="7.42578125" bestFit="1" customWidth="1"/>
  </cols>
  <sheetData>
    <row r="1" spans="1:2" x14ac:dyDescent="0.25">
      <c r="A1" t="s">
        <v>2</v>
      </c>
      <c r="B1" t="s">
        <v>27</v>
      </c>
    </row>
    <row r="2" spans="1:2" x14ac:dyDescent="0.25">
      <c r="A2" s="3" t="s">
        <v>14</v>
      </c>
      <c r="B2">
        <v>2</v>
      </c>
    </row>
    <row r="3" spans="1:2" x14ac:dyDescent="0.25">
      <c r="A3" s="3" t="s">
        <v>15</v>
      </c>
      <c r="B3">
        <v>2</v>
      </c>
    </row>
    <row r="4" spans="1:2" x14ac:dyDescent="0.25">
      <c r="A4" s="3" t="s">
        <v>16</v>
      </c>
      <c r="B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0DC6-8273-4DC0-A3FB-8970219A9A45}">
  <dimension ref="A1:F3"/>
  <sheetViews>
    <sheetView workbookViewId="0">
      <selection sqref="A1:A3"/>
    </sheetView>
  </sheetViews>
  <sheetFormatPr defaultRowHeight="15" x14ac:dyDescent="0.25"/>
  <cols>
    <col min="1" max="1" width="11" bestFit="1" customWidth="1"/>
    <col min="2" max="2" width="17.7109375" bestFit="1" customWidth="1"/>
    <col min="3" max="3" width="14.85546875" bestFit="1" customWidth="1"/>
    <col min="4" max="4" width="9.85546875" bestFit="1" customWidth="1"/>
    <col min="5" max="5" width="8.5703125" bestFit="1" customWidth="1"/>
    <col min="6" max="6" width="15" bestFit="1" customWidth="1"/>
  </cols>
  <sheetData>
    <row r="1" spans="1:6" x14ac:dyDescent="0.25">
      <c r="A1" t="s">
        <v>19</v>
      </c>
      <c r="B1" t="s">
        <v>29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3" t="s">
        <v>20</v>
      </c>
      <c r="B2" s="3" t="s">
        <v>5</v>
      </c>
      <c r="C2" s="3" t="s">
        <v>10</v>
      </c>
      <c r="D2" s="3" t="s">
        <v>14</v>
      </c>
      <c r="E2" s="3" t="s">
        <v>17</v>
      </c>
      <c r="F2" s="1">
        <v>46082</v>
      </c>
    </row>
    <row r="3" spans="1:6" x14ac:dyDescent="0.25">
      <c r="A3" s="3" t="s">
        <v>22</v>
      </c>
      <c r="B3" s="3" t="s">
        <v>7</v>
      </c>
      <c r="C3" s="3" t="s">
        <v>12</v>
      </c>
      <c r="D3" s="3" t="s">
        <v>14</v>
      </c>
      <c r="E3" s="3" t="s">
        <v>17</v>
      </c>
      <c r="F3" s="1">
        <v>46083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19F4-CF92-48F7-A6D5-1C7029ACD088}">
  <dimension ref="A1:B5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</cols>
  <sheetData>
    <row r="1" spans="1:2" x14ac:dyDescent="0.25">
      <c r="A1" t="s">
        <v>4</v>
      </c>
      <c r="B1" t="s">
        <v>28</v>
      </c>
    </row>
    <row r="2" spans="1:2" x14ac:dyDescent="0.25">
      <c r="A2" s="1">
        <v>46082</v>
      </c>
      <c r="B2">
        <v>1</v>
      </c>
    </row>
    <row r="3" spans="1:2" x14ac:dyDescent="0.25">
      <c r="A3" s="1">
        <v>46083</v>
      </c>
      <c r="B3">
        <v>2</v>
      </c>
    </row>
    <row r="4" spans="1:2" x14ac:dyDescent="0.25">
      <c r="A4" s="1">
        <v>46084</v>
      </c>
      <c r="B4">
        <v>1</v>
      </c>
    </row>
    <row r="5" spans="1:2" x14ac:dyDescent="0.25">
      <c r="A5" s="1">
        <v>46085</v>
      </c>
      <c r="B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7B90-262C-42DA-8501-FEAD6649A36D}">
  <dimension ref="A1:B3"/>
  <sheetViews>
    <sheetView workbookViewId="0">
      <selection sqref="A1:B3"/>
    </sheetView>
  </sheetViews>
  <sheetFormatPr defaultRowHeight="15" x14ac:dyDescent="0.25"/>
  <cols>
    <col min="1" max="1" width="8.5703125" bestFit="1" customWidth="1"/>
    <col min="2" max="2" width="7.7109375" bestFit="1" customWidth="1"/>
  </cols>
  <sheetData>
    <row r="1" spans="1:2" x14ac:dyDescent="0.25">
      <c r="A1" t="s">
        <v>3</v>
      </c>
      <c r="B1" t="s">
        <v>25</v>
      </c>
    </row>
    <row r="2" spans="1:2" x14ac:dyDescent="0.25">
      <c r="A2" s="3" t="s">
        <v>17</v>
      </c>
      <c r="B2">
        <v>3</v>
      </c>
    </row>
    <row r="3" spans="1:2" x14ac:dyDescent="0.25">
      <c r="A3" s="3" t="s">
        <v>18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72B2-27B8-4AC2-9F76-E37657060BDD}">
  <dimension ref="A1:P27"/>
  <sheetViews>
    <sheetView showGridLines="0" tabSelected="1" topLeftCell="F1" zoomScale="80" zoomScaleNormal="80" workbookViewId="0">
      <selection activeCell="O23" sqref="O23"/>
    </sheetView>
  </sheetViews>
  <sheetFormatPr defaultColWidth="0" defaultRowHeight="15" zeroHeight="1" x14ac:dyDescent="0.25"/>
  <cols>
    <col min="1" max="1" width="13.140625" hidden="1" customWidth="1"/>
    <col min="2" max="5" width="12" hidden="1" customWidth="1"/>
    <col min="6" max="6" width="12" customWidth="1"/>
    <col min="7" max="7" width="11.28515625" bestFit="1" customWidth="1"/>
    <col min="8" max="8" width="19.42578125" bestFit="1" customWidth="1"/>
    <col min="9" max="9" width="23.85546875" bestFit="1" customWidth="1"/>
    <col min="10" max="15" width="9.140625" customWidth="1"/>
    <col min="16" max="16" width="14.140625" hidden="1"/>
    <col min="17" max="16384" width="9.140625" hidden="1"/>
  </cols>
  <sheetData>
    <row r="1" spans="1:14" x14ac:dyDescent="0.25">
      <c r="A1" s="4" t="s">
        <v>31</v>
      </c>
      <c r="B1" t="s">
        <v>32</v>
      </c>
    </row>
    <row r="2" spans="1:14" ht="31.5" x14ac:dyDescent="0.25">
      <c r="A2" s="5" t="s">
        <v>12</v>
      </c>
      <c r="B2" s="3">
        <v>1</v>
      </c>
      <c r="G2" s="9" t="s">
        <v>36</v>
      </c>
      <c r="H2" s="8"/>
      <c r="I2" s="8"/>
      <c r="J2" s="8"/>
      <c r="K2" s="8"/>
      <c r="L2" s="8"/>
      <c r="M2" s="8"/>
      <c r="N2" s="8"/>
    </row>
    <row r="3" spans="1:14" x14ac:dyDescent="0.25">
      <c r="A3" s="5" t="s">
        <v>13</v>
      </c>
      <c r="B3" s="3">
        <v>1</v>
      </c>
      <c r="G3" s="7"/>
      <c r="H3" s="7"/>
      <c r="I3" s="7"/>
      <c r="J3" s="7"/>
      <c r="K3" s="7"/>
      <c r="L3" s="7"/>
      <c r="M3" s="7"/>
      <c r="N3" s="7"/>
    </row>
    <row r="4" spans="1:14" x14ac:dyDescent="0.25">
      <c r="A4" s="5" t="s">
        <v>10</v>
      </c>
      <c r="B4" s="3">
        <v>2</v>
      </c>
      <c r="G4" s="7"/>
      <c r="H4" s="7"/>
      <c r="I4" s="7"/>
      <c r="J4" s="7"/>
      <c r="K4" s="7"/>
      <c r="L4" s="7"/>
      <c r="M4" s="7"/>
      <c r="N4" s="7"/>
    </row>
    <row r="5" spans="1:14" x14ac:dyDescent="0.25">
      <c r="A5" s="5" t="s">
        <v>11</v>
      </c>
      <c r="B5" s="3">
        <v>1</v>
      </c>
    </row>
    <row r="6" spans="1:14" x14ac:dyDescent="0.25">
      <c r="A6" s="5" t="s">
        <v>30</v>
      </c>
      <c r="B6" s="3">
        <v>5</v>
      </c>
    </row>
    <row r="7" spans="1:14" x14ac:dyDescent="0.25"/>
    <row r="8" spans="1:14" x14ac:dyDescent="0.25"/>
    <row r="9" spans="1:14" x14ac:dyDescent="0.25">
      <c r="A9" s="4" t="s">
        <v>31</v>
      </c>
      <c r="B9" t="s">
        <v>33</v>
      </c>
    </row>
    <row r="10" spans="1:14" x14ac:dyDescent="0.25">
      <c r="A10" s="5" t="s">
        <v>14</v>
      </c>
      <c r="B10" s="3">
        <v>2</v>
      </c>
    </row>
    <row r="11" spans="1:14" x14ac:dyDescent="0.25">
      <c r="A11" s="5" t="s">
        <v>16</v>
      </c>
      <c r="B11" s="3">
        <v>1</v>
      </c>
    </row>
    <row r="12" spans="1:14" x14ac:dyDescent="0.25">
      <c r="A12" s="5" t="s">
        <v>15</v>
      </c>
      <c r="B12" s="3">
        <v>2</v>
      </c>
    </row>
    <row r="13" spans="1:14" x14ac:dyDescent="0.25">
      <c r="A13" s="5" t="s">
        <v>30</v>
      </c>
      <c r="B13" s="3">
        <v>5</v>
      </c>
    </row>
    <row r="14" spans="1:14" x14ac:dyDescent="0.25"/>
    <row r="15" spans="1:14" x14ac:dyDescent="0.25"/>
    <row r="16" spans="1:14" x14ac:dyDescent="0.25">
      <c r="A16" s="4" t="s">
        <v>31</v>
      </c>
      <c r="B16" t="s">
        <v>34</v>
      </c>
    </row>
    <row r="17" spans="1:2" x14ac:dyDescent="0.25">
      <c r="A17" s="6">
        <v>46082</v>
      </c>
      <c r="B17" s="3">
        <v>1</v>
      </c>
    </row>
    <row r="18" spans="1:2" x14ac:dyDescent="0.25">
      <c r="A18" s="6">
        <v>46083</v>
      </c>
      <c r="B18" s="3">
        <v>2</v>
      </c>
    </row>
    <row r="19" spans="1:2" x14ac:dyDescent="0.25">
      <c r="A19" s="6">
        <v>46084</v>
      </c>
      <c r="B19" s="3">
        <v>1</v>
      </c>
    </row>
    <row r="20" spans="1:2" x14ac:dyDescent="0.25">
      <c r="A20" s="6">
        <v>46085</v>
      </c>
      <c r="B20" s="3">
        <v>1</v>
      </c>
    </row>
    <row r="21" spans="1:2" x14ac:dyDescent="0.25">
      <c r="A21" s="6" t="s">
        <v>30</v>
      </c>
      <c r="B21" s="3">
        <v>5</v>
      </c>
    </row>
    <row r="22" spans="1:2" x14ac:dyDescent="0.25"/>
    <row r="23" spans="1:2" x14ac:dyDescent="0.25"/>
    <row r="24" spans="1:2" x14ac:dyDescent="0.25">
      <c r="A24" s="4" t="s">
        <v>31</v>
      </c>
      <c r="B24" t="s">
        <v>35</v>
      </c>
    </row>
    <row r="25" spans="1:2" x14ac:dyDescent="0.25">
      <c r="A25" s="5" t="s">
        <v>18</v>
      </c>
      <c r="B25" s="3">
        <v>2</v>
      </c>
    </row>
    <row r="26" spans="1:2" x14ac:dyDescent="0.25">
      <c r="A26" s="5" t="s">
        <v>17</v>
      </c>
      <c r="B26" s="3">
        <v>3</v>
      </c>
    </row>
    <row r="27" spans="1:2" x14ac:dyDescent="0.25">
      <c r="A27" s="5" t="s">
        <v>30</v>
      </c>
      <c r="B27" s="3">
        <v>5</v>
      </c>
    </row>
  </sheetData>
  <mergeCells count="1">
    <mergeCell ref="G2:N2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E89D57-B661-4202-A143-2CAC535DA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tickets</vt:lpstr>
      <vt:lpstr>most_common_issue</vt:lpstr>
      <vt:lpstr>ticket_priority_breakdown</vt:lpstr>
      <vt:lpstr>high_priority_open_ticket</vt:lpstr>
      <vt:lpstr>tickets with tables</vt:lpstr>
      <vt:lpstr>total_tickets_by_status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2026-03-17T07:16:29Z</dcterms:created>
  <dcterms:modified xsi:type="dcterms:W3CDTF">2026-04-01T05:03:54Z</dcterms:modified>
</cp:coreProperties>
</file>